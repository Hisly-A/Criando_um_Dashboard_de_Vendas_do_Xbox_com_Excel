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20610" yWindow="-1350" windowWidth="20730" windowHeight="1176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Extras" sheetId="5" state="hidden" r:id="rId5"/>
  </sheets>
  <definedNames>
    <definedName name="SegmentaçãodeDados_Subscription_Type">#N/A</definedName>
  </definedNames>
  <calcPr calcId="145621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<sst xmlns="http://schemas.openxmlformats.org/spreadsheetml/2006/main" count="2034" uniqueCount="329">
  <si>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</si>
  <si>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</si>
  <si>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</si>
  <si>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</si>
  <si>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</si>
  <si>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</si>
  <si>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</si>
  <si>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</si>
  <si>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</si>
  <si>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</si>
  <si>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</si>
  <si>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</si>
  <si>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</si>
  <si>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</si>
  <si>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</si>
  <si>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</si>
  <si>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</si>
  <si>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</si>
  <si>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</si>
  <si>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</si>
  <si>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</si>
  <si>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</si>
  <si>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</si>
  <si>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</si>
  <si>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</si>
  <si>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</si>
  <si>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</si>
  <si>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</si>
  <si>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</si>
  <si>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</si>
  <si>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</si>
  <si>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</si>
  <si>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</si>
  <si>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</si>
  <si>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</si>
  <si>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</si>
  <si>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</si>
  <si>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</si>
  <si>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</si>
  <si>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</si>
  <si>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</si>
  <si>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</si>
  <si>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</si>
  <si>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</si>
  <si>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</si>
  <si>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</si>
  <si>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</si>
  <si>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</si>
  <si>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</si>
  <si>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</si>
  <si>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</si>
  <si>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</si>
  <si>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</si>
  <si>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</si>
  <si>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</si>
  <si>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</si>
  <si>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</si>
  <si>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</si>
  <si>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</si>
  <si>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</si>
  <si>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</si>
  <si>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</si>
  <si>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</si>
  <si>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</si>
  <si>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</si>
  <si>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</si>
  <si>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</si>
  <si>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</si>
  <si>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</si>
  <si>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</si>
  <si>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</si>
  <si>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</si>
  <si>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</si>
  <si>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</si>
  <si>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</si>
  <si>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</si>
  <si>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</si>
  <si>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</si>
  <si>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</si>
  <si>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</si>
  <si>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</si>
  <si>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</si>
  <si>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</si>
  <si>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</si>
  <si>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</si>
  <si>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</si>
  <si>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</si>
  <si>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</si>
  <si>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</si>
  <si>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</si>
  <si>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</si>
  <si>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</si>
  <si>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</si>
  <si>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</si>
  <si>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</si>
  <si>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</si>
  <si>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</si>
  <si>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</si>
  <si>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</si>
  <si>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</si>
  <si>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</si>
  <si>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</si>
  <si>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</si>
  <si>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</si>
  <si>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</si>
  <si>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</si>
  <si>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</si>
  <si>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</si>
  <si>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</si>
  <si>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</si>
  <si>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</si>
  <si>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</si>
  <si>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</si>
  <si>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</si>
  <si>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</si>
  <si>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</si>
  <si>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</si>
  <si>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</si>
  <si>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</si>
  <si>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</si>
  <si>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</si>
  <si>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</si>
  <si>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</si>
  <si>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</si>
  <si>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</si>
  <si>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</si>
  <si>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</si>
  <si>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</si>
  <si>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</si>
  <si>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</si>
  <si>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</si>
  <si>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</si>
  <si>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</si>
  <si>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</si>
  <si>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</si>
  <si>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</si>
  <si>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</si>
  <si>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</si>
  <si>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</si>
  <si>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</si>
  <si>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</si>
  <si>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</si>
  <si>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</si>
  <si>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</si>
  <si>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</si>
  <si>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</si>
  <si>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</si>
  <si>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</si>
  <si>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</si>
  <si>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</si>
  <si>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</si>
  <si>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</si>
  <si>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</si>
  <si>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</si>
  <si>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</si>
  <si>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</si>
  <si>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</si>
  <si>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</si>
  <si>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</si>
  <si>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</si>
  <si>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</si>
  <si>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</si>
  <si>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</si>
  <si>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</si>
  <si>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</si>
  <si>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</si>
  <si>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</si>
  <si>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</si>
  <si>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</si>
  <si>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</si>
  <si>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</si>
  <si>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</si>
  <si>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</si>
  <si>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</si>
  <si>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</si>
  <si>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</si>
  <si>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</si>
  <si>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</si>
  <si>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</si>
  <si>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</si>
  <si>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</si>
  <si>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</si>
  <si>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</si>
  <si>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</si>
  <si>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</si>
  <si>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</si>
  <si>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</si>
  <si>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</si>
  <si>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</si>
  <si>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</si>
  <si>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</si>
  <si>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</si>
  <si>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</si>
  <si>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</si>
  <si>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</si>
  <si>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</si>
  <si>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</si>
  <si>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</si>
  <si>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</si>
  <si>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</si>
  <si>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</si>
  <si>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</si>
  <si>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</si>
  <si>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</si>
  <si>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</si>
  <si>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</si>
  <si>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</si>
  <si>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</si>
  <si>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</si>
  <si>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</si>
  <si>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</si>
  <si>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</si>
  <si>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</si>
  <si>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</si>
  <si>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</si>
  <si>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</si>
  <si>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</si>
  <si>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</si>
  <si>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</si>
  <si>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</si>
  <si>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</si>
  <si>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</si>
  <si>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</si>
  <si>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</si>
  <si>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</si>
  <si>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</si>
  <si>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</si>
  <si>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</si>
  <si>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</si>
  <si>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</si>
  <si>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</si>
  <si>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</si>
  <si>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</si>
  <si>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</si>
  <si>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</si>
  <si>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</si>
  <si>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</si>
  <si>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</si>
  <si>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</si>
  <si>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</si>
  <si>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</si>
  <si>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</si>
  <si>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</si>
  <si>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</si>
  <si>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</si>
  <si>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</si>
  <si>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</si>
  <si>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</si>
  <si>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</si>
  <si>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</si>
  <si>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</si>
  <si>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</si>
  <si>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</si>
  <si>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</si>
  <si>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</si>
  <si>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</si>
  <si>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</si>
  <si>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</si>
  <si>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</si>
  <si>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</si>
  <si>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</si>
  <si>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</si>
  <si>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</si>
  <si>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</si>
  <si>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</si>
  <si>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</si>
  <si>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</si>
  <si>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</si>
  <si>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</si>
  <si>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</si>
  <si>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</si>
  <si>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</si>
  <si>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</si>
  <si>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</si>
  <si>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</si>
  <si>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</si>
  <si>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</si>
  <si>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</si>
  <si>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</si>
  <si>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</si>
  <si>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</si>
  <si>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</si>
  <si>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</si>
  <si>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</si>
  <si>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</si>
  <si>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</si>
  <si>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</si>
  <si>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</si>
  <si>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</si>
  <si>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</si>
  <si>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</si>
  <si>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</si>
  <si>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</si>
  <si>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</si>
  <si>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</si>
  <si>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</si>
  <si>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</si>
  <si>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</si>
  <si>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</si>
  <si>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</si>
  <si>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</si>
  <si>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</si>
  <si>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</si>
  <si>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</si>
  <si>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</si>
  <si>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</si>
  <si>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</si>
  <si>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</si>
  <si>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</si>
  <si>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</si>
  <si>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</si>
  <si>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</si>
  <si>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</si>
  <si>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</si>
  <si>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</si>
  <si>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</si>
  <si>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</si>
  <si>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</si>
  <si>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</si>
  <si>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</si>
  <si>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</si>
  <si>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</si>
  <si>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</si>
  <si>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</si>
  <si>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Pergunta Negócio 5 - Total de vendas por plano e tipo de assinatura sem EA Play e Minecraft</t>
  </si>
  <si>
    <t>Soma de Subscription Price</t>
  </si>
  <si>
    <t>Materiais de Apoio</t>
  </si>
  <si>
    <t>Base de Dados: base.xlsx</t>
  </si>
  <si>
    <t>Dashboard Finalizado: dashboard_xbox_finalizado.xlsx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</si>
</sst>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Alignment="1">
      <alignment horizontal="left" vertical="center" indent="1"/>
    </xf>
    <xf numFmtId="0" fontId="7" fillId="0" borderId="0" xfId="4" applyAlignment="1">
      <alignment horizontal="left" vertical="center"/>
    </xf>
    <xf numFmtId="0" fontId="0" fillId="4" borderId="0" xfId="0" applyFill="1" applyProtection="1"/>
  </cellXfs>
  <cellStyles count="5">
    <cellStyle name="Hiperlink" xfId="4" builtinId="8"/>
    <cellStyle name="Moeda" xfId="2" builtinId="4"/>
    <cellStyle name="Neutra" xfId="3" builtinId="28"/>
    <cellStyle name="Normal" xfId="0" builtinId="0"/>
    <cellStyle name="Título 1" xfId="1" builtinId="16"/>
  </cellStyles>
  <dxfs count="1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8"/>
      <tableStyleElement type="headerRow" dxfId="17"/>
    </tableStyle>
  </tableStyles>
  <colors>
    <mruColors>
      <color rgb="FF5BF6A8"/>
      <color rgb="FF22C55E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413952"/>
        <c:axId val="204428032"/>
      </c:barChart>
      <c:catAx>
        <c:axId val="20441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28032"/>
        <c:crosses val="autoZero"/>
        <c:auto val="1"/>
        <c:lblAlgn val="ctr"/>
        <c:lblOffset val="100"/>
        <c:noMultiLvlLbl val="0"/>
      </c:catAx>
      <c:valAx>
        <c:axId val="20442803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441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Xbox.xlsx]C̳álculos!tbl_subscriptionforplan</c:name>
    <c:fmtId val="4"/>
  </c:pivotSource>
  <c:chart>
    <c:autoTitleDeleted val="1"/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C̳álculos!$B$44:$B$47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C̳álculos!$C$44:$C$47</c:f>
              <c:numCache>
                <c:formatCode>_("R$"* #,##0.00_);_("R$"* \(#,##0.00\);_("R$"* "-"??_);_(@_)</c:formatCode>
                <c:ptCount val="3"/>
                <c:pt idx="0">
                  <c:v>245</c:v>
                </c:pt>
                <c:pt idx="1">
                  <c:v>450</c:v>
                </c:pt>
                <c:pt idx="2">
                  <c:v>675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=""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58852</xdr:rowOff>
    </xdr:from>
    <xdr:to>
      <xdr:col>0</xdr:col>
      <xdr:colOff>1782536</xdr:colOff>
      <xdr:row>16</xdr:row>
      <xdr:rowOff>133351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=""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39977"/>
              <a:ext cx="1782536" cy="1588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slicer. Os slicers podem ser usados, no mínimo, no Excel 2010.
Caso a forma tenha sido modificada em uma versão anterior do Excel, ou a pasta de trabalho tenha sido salva no Excel 2003 ou
anterior, o slicer não poderá ser usado.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10</xdr:col>
      <xdr:colOff>104775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=""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3895" y="1173163"/>
          <a:ext cx="5584297" cy="1598877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=""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=""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2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2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=""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=""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10</xdr:col>
      <xdr:colOff>533400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=""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396817" y="1173163"/>
          <a:ext cx="5606520" cy="1522677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=""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=""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=""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2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2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=""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=""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=""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=""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11906</xdr:colOff>
      <xdr:row>17</xdr:row>
      <xdr:rowOff>60722</xdr:rowOff>
    </xdr:from>
    <xdr:to>
      <xdr:col>10</xdr:col>
      <xdr:colOff>123825</xdr:colOff>
      <xdr:row>34</xdr:row>
      <xdr:rowOff>120253</xdr:rowOff>
    </xdr:to>
    <xdr:grpSp>
      <xdr:nvGrpSpPr>
        <xdr:cNvPr id="30" name="Agrupar 29">
          <a:extLst>
            <a:ext uri="{FF2B5EF4-FFF2-40B4-BE49-F238E27FC236}">
              <a16:creationId xmlns=""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1989" y="3066389"/>
          <a:ext cx="5615253" cy="3118114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=""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=""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=""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=""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=""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0</xdr:rowOff>
    </xdr:from>
    <xdr:to>
      <xdr:col>0</xdr:col>
      <xdr:colOff>1962150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=""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981075"/>
          <a:ext cx="1852494" cy="2454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228279</xdr:rowOff>
    </xdr:from>
    <xdr:to>
      <xdr:col>11</xdr:col>
      <xdr:colOff>333375</xdr:colOff>
      <xdr:row>5</xdr:row>
      <xdr:rowOff>19049</xdr:rowOff>
    </xdr:to>
    <xdr:sp macro="" textlink="">
      <xdr:nvSpPr>
        <xdr:cNvPr id="33" name="Retângulo 32">
          <a:extLst>
            <a:ext uri="{FF2B5EF4-FFF2-40B4-BE49-F238E27FC236}">
              <a16:creationId xmlns="" xmlns:a16="http://schemas.microsoft.com/office/drawing/2014/main" id="{FA5C664E-2699-4DBD-8F76-94B27D37C6C0}"/>
            </a:ext>
          </a:extLst>
        </xdr:cNvPr>
        <xdr:cNvSpPr/>
      </xdr:nvSpPr>
      <xdr:spPr>
        <a:xfrm>
          <a:off x="2309931" y="761679"/>
          <a:ext cx="6557844" cy="238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on: 09/02/2026 21:00:00</a:t>
          </a:r>
        </a:p>
      </xdr:txBody>
    </xdr:sp>
    <xdr:clientData/>
  </xdr:twoCellAnchor>
  <xdr:twoCellAnchor editAs="absolute">
    <xdr:from>
      <xdr:col>10</xdr:col>
      <xdr:colOff>581025</xdr:colOff>
      <xdr:row>17</xdr:row>
      <xdr:rowOff>60722</xdr:rowOff>
    </xdr:from>
    <xdr:to>
      <xdr:col>19</xdr:col>
      <xdr:colOff>161925</xdr:colOff>
      <xdr:row>34</xdr:row>
      <xdr:rowOff>120253</xdr:rowOff>
    </xdr:to>
    <xdr:grpSp>
      <xdr:nvGrpSpPr>
        <xdr:cNvPr id="2" name="Grupo 1"/>
        <xdr:cNvGrpSpPr/>
      </xdr:nvGrpSpPr>
      <xdr:grpSpPr>
        <a:xfrm>
          <a:off x="8444442" y="3066389"/>
          <a:ext cx="5592233" cy="3118114"/>
          <a:chOff x="8686800" y="3124200"/>
          <a:chExt cx="5314950" cy="3298031"/>
        </a:xfrm>
      </xdr:grpSpPr>
      <xdr:grpSp>
        <xdr:nvGrpSpPr>
          <xdr:cNvPr id="39" name="Agrupar 29">
            <a:extLst>
              <a:ext uri="{FF2B5EF4-FFF2-40B4-BE49-F238E27FC236}">
                <a16:creationId xmlns="" xmlns:a16="http://schemas.microsoft.com/office/drawing/2014/main" id="{08565BD9-58FC-B6E1-F4E6-6B45AE50E033}"/>
              </a:ext>
            </a:extLst>
          </xdr:cNvPr>
          <xdr:cNvGrpSpPr/>
        </xdr:nvGrpSpPr>
        <xdr:grpSpPr>
          <a:xfrm>
            <a:off x="8686800" y="3124200"/>
            <a:ext cx="5314950" cy="3298031"/>
            <a:chOff x="2083594" y="3178969"/>
            <a:chExt cx="10298906" cy="3298031"/>
          </a:xfrm>
        </xdr:grpSpPr>
        <xdr:sp macro="" textlink="">
          <xdr:nvSpPr>
            <xdr:cNvPr id="42" name="Retângulo: Cantos Arredondados 7">
              <a:extLst>
                <a:ext uri="{FF2B5EF4-FFF2-40B4-BE49-F238E27FC236}">
                  <a16:creationId xmlns=""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095501" y="3178970"/>
              <a:ext cx="10275091" cy="3298030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41" name="Retângulo: Cantos Superiores Arredondados 28">
              <a:extLst>
                <a:ext uri="{FF2B5EF4-FFF2-40B4-BE49-F238E27FC236}">
                  <a16:creationId xmlns="" xmlns:a16="http://schemas.microsoft.com/office/drawing/2014/main" id="{04E90C24-1EAF-4464-9E27-CA84E66E9AD4}"/>
                </a:ext>
              </a:extLst>
            </xdr:cNvPr>
            <xdr:cNvSpPr/>
          </xdr:nvSpPr>
          <xdr:spPr>
            <a:xfrm>
              <a:off x="2083594" y="3178969"/>
              <a:ext cx="10298906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SUBSCRIPTIONS XBOX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GAME PASS x PLAN</a:t>
              </a:r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46" name="Gráfico 45"/>
          <xdr:cNvGraphicFramePr>
            <a:graphicFrameLocks/>
          </xdr:cNvGraphicFramePr>
        </xdr:nvGraphicFramePr>
        <xdr:xfrm>
          <a:off x="9201150" y="36195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outline="1" outlineData="1" multipleFieldFilters="0" chartFormat="8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bl_subscriptionforplan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5">
  <location ref="B43:C4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dataField="1"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Subscription Price" fld="5" baseField="0" baseItem="0" numFmtId="44"/>
  </dataFields>
  <formats count="1">
    <format dxfId="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minecraftseasonpass_total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outline="1" outlineData="1" multipleFieldFilters="0" chartFormat="6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bl_minecraftseasonpass_total"/>
    <pivotTable tabId="3" name="tbl_subscriptionforplan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 dataDxfId="16">
  <autoFilter ref="A1:M296"/>
  <tableColumns count="13">
    <tableColumn id="1" name="Subscriber ID" dataDxfId="15"/>
    <tableColumn id="2" name="Name" dataDxfId="14"/>
    <tableColumn id="3" name="Plan" dataDxfId="13"/>
    <tableColumn id="4" name="Start Date" dataDxfId="12"/>
    <tableColumn id="5" name="Auto Renewal" dataDxfId="11"/>
    <tableColumn id="6" name="Subscription Price" dataDxfId="10" dataCellStyle="Moeda"/>
    <tableColumn id="7" name="Subscription Type" dataDxfId="9"/>
    <tableColumn id="8" name="EA Play Season Pass" dataDxfId="8"/>
    <tableColumn id="13" name="EA Play Season Pass_x000a_Price" dataDxfId="7" dataCellStyle="Moeda"/>
    <tableColumn id="9" name="Minecraft Season Pass" dataDxfId="6"/>
    <tableColumn id="10" name="Minecraft Season Pass Price" dataDxfId="5" dataCellStyle="Moeda"/>
    <tableColumn id="11" name="Coupon Value" dataDxfId="4" dataCellStyle="Moeda"/>
    <tableColumn id="12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ermes.dio.me/files/assets/0120950e-64c8-4092-a257-ba22ed198c69.xlsx" TargetMode="External"/><Relationship Id="rId1" Type="http://schemas.openxmlformats.org/officeDocument/2006/relationships/hyperlink" Target="https://hermes.dio.me/files/assets/805d54f9-6d53-4246-bed7-4aa2da6159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H9" sqref="H9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G3" sqref="G3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F47"/>
  <sheetViews>
    <sheetView showGridLines="0" topLeftCell="A16" workbookViewId="0">
      <selection activeCell="B43" sqref="B43"/>
    </sheetView>
  </sheetViews>
  <sheetFormatPr defaultRowHeight="14.25"/>
  <cols>
    <col min="2" max="2" width="18" customWidth="1"/>
    <col min="3" max="3" width="25.875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20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2824</v>
      </c>
    </row>
    <row r="13" spans="2:6">
      <c r="B13" s="14" t="s">
        <v>19</v>
      </c>
      <c r="C13" s="13">
        <v>747</v>
      </c>
    </row>
    <row r="14" spans="2:6">
      <c r="B14" s="14" t="s">
        <v>310</v>
      </c>
      <c r="C14" s="13">
        <v>3571</v>
      </c>
    </row>
    <row r="17" spans="2:5">
      <c r="B17" s="14" t="s">
        <v>321</v>
      </c>
    </row>
    <row r="19" spans="2:5">
      <c r="B19" s="12" t="s">
        <v>16</v>
      </c>
      <c r="C19" t="s">
        <v>20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1350</v>
      </c>
    </row>
    <row r="25" spans="2:5">
      <c r="B25" s="14" t="s">
        <v>310</v>
      </c>
      <c r="C25" s="15">
        <v>1350</v>
      </c>
      <c r="E25" s="17">
        <f>GETPIVOTDATA("EA Play Season Pass
Price",$B$21)</f>
        <v>1350</v>
      </c>
    </row>
    <row r="28" spans="2:5">
      <c r="B28" s="14" t="s">
        <v>322</v>
      </c>
    </row>
    <row r="30" spans="2:5">
      <c r="B30" s="12" t="s">
        <v>16</v>
      </c>
      <c r="C30" t="s">
        <v>20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900</v>
      </c>
    </row>
    <row r="35" spans="2:5">
      <c r="B35" s="14" t="s">
        <v>18</v>
      </c>
      <c r="C35" s="13">
        <v>900</v>
      </c>
    </row>
    <row r="36" spans="2:5">
      <c r="B36" s="14" t="s">
        <v>310</v>
      </c>
      <c r="C36" s="13">
        <v>1800</v>
      </c>
      <c r="E36" s="17">
        <f>GETPIVOTDATA("Minecraft Season Pass Price",$B$32)</f>
        <v>1800</v>
      </c>
    </row>
    <row r="39" spans="2:5">
      <c r="B39" s="14" t="s">
        <v>324</v>
      </c>
    </row>
    <row r="40" spans="2:5">
      <c r="B40" s="14"/>
    </row>
    <row r="41" spans="2:5">
      <c r="B41" s="12" t="s">
        <v>16</v>
      </c>
      <c r="C41" t="s">
        <v>20</v>
      </c>
    </row>
    <row r="43" spans="2:5">
      <c r="B43" s="12" t="s">
        <v>309</v>
      </c>
      <c r="C43" t="s">
        <v>325</v>
      </c>
    </row>
    <row r="44" spans="2:5">
      <c r="B44" s="14" t="s">
        <v>22</v>
      </c>
      <c r="C44" s="13">
        <v>245</v>
      </c>
    </row>
    <row r="45" spans="2:5">
      <c r="B45" s="14" t="s">
        <v>26</v>
      </c>
      <c r="C45" s="13">
        <v>450</v>
      </c>
    </row>
    <row r="46" spans="2:5">
      <c r="B46" s="14" t="s">
        <v>18</v>
      </c>
      <c r="C46" s="13">
        <v>675</v>
      </c>
    </row>
    <row r="47" spans="2:5">
      <c r="B47" s="14" t="s">
        <v>310</v>
      </c>
      <c r="C47" s="13">
        <v>1370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F6A8"/>
  </sheetPr>
  <dimension ref="A2:S136"/>
  <sheetViews>
    <sheetView showGridLines="0" showRowColHeaders="0" tabSelected="1" zoomScale="90" zoomScaleNormal="90" workbookViewId="0">
      <selection activeCell="C47" sqref="C47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23"/>
    </row>
    <row r="9" spans="1:19" s="7" customFormat="1">
      <c r="A9" s="23"/>
    </row>
    <row r="10" spans="1:19" s="7" customFormat="1">
      <c r="A10" s="23"/>
    </row>
    <row r="11" spans="1:19" s="7" customFormat="1" ht="14.25" customHeight="1">
      <c r="A11" s="23"/>
    </row>
    <row r="12" spans="1:19" s="7" customFormat="1">
      <c r="A12" s="23"/>
    </row>
    <row r="13" spans="1:19" s="7" customFormat="1">
      <c r="A13" s="23"/>
    </row>
    <row r="14" spans="1:19" s="7" customFormat="1">
      <c r="A14" s="23"/>
    </row>
    <row r="15" spans="1:19" s="7" customFormat="1">
      <c r="A15" s="23"/>
    </row>
    <row r="16" spans="1:19" s="7" customFormat="1">
      <c r="A16" s="23"/>
    </row>
    <row r="17" spans="1:1" s="7" customFormat="1">
      <c r="A17" s="23"/>
    </row>
    <row r="18" spans="1:1" s="7" customFormat="1">
      <c r="A18" s="23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sheetProtection selectLockedCells="1" selectUn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2:F6"/>
  <sheetViews>
    <sheetView showGridLines="0" workbookViewId="0">
      <selection activeCell="K19" sqref="K19"/>
    </sheetView>
  </sheetViews>
  <sheetFormatPr defaultRowHeight="14.25"/>
  <cols>
    <col min="2" max="2" width="8.875" bestFit="1" customWidth="1"/>
  </cols>
  <sheetData>
    <row r="2" spans="2:6" ht="20.25" thickBot="1">
      <c r="B2" s="1" t="s">
        <v>326</v>
      </c>
      <c r="C2" s="1"/>
      <c r="D2" s="1"/>
      <c r="E2" s="1"/>
      <c r="F2" s="1"/>
    </row>
    <row r="3" spans="2:6" ht="15" thickTop="1">
      <c r="B3" s="21"/>
    </row>
    <row r="4" spans="2:6">
      <c r="B4" s="22" t="s">
        <v>327</v>
      </c>
    </row>
    <row r="5" spans="2:6">
      <c r="B5" s="21"/>
    </row>
    <row r="6" spans="2:6">
      <c r="B6" s="22" t="s">
        <v>328</v>
      </c>
    </row>
  </sheetData>
  <hyperlinks>
    <hyperlink ref="B4" r:id="rId1" display="https://hermes.dio.me/files/assets/805d54f9-6d53-4246-bed7-4aa2da615923.xlsx"/>
    <hyperlink ref="B6" r:id="rId2" display="https://hermes.dio.me/files/assets/0120950e-64c8-4092-a257-ba22ed198c69.xlsx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Extras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Hisly</cp:lastModifiedBy>
  <dcterms:created xsi:type="dcterms:W3CDTF">2024-12-19T13:13:10Z</dcterms:created>
  <dcterms:modified xsi:type="dcterms:W3CDTF">2026-02-11T00:45:07Z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